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Assumptions" sheetId="2" state="visible" r:id="rId2"/>
    <sheet name="Eval Results" sheetId="3" state="visible" r:id="rId3"/>
    <sheet name="Cost Per Doc" sheetId="4" state="visible" r:id="rId4"/>
    <sheet name="Scaling Projection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0.0%"/>
    <numFmt numFmtId="166" formatCode="$#,##0.0000;($#,##0.0000);-"/>
    <numFmt numFmtId="167" formatCode="$#,##0;($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3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6" fillId="4" borderId="0" pivotButton="0" quotePrefix="0" xfId="0"/>
    <xf numFmtId="0" fontId="6" fillId="0" borderId="0" pivotButton="0" quotePrefix="0" xfId="0"/>
    <xf numFmtId="0" fontId="6" fillId="4" borderId="0" pivotButton="0" quotePrefix="0" xfId="0"/>
    <xf numFmtId="3" fontId="6" fillId="4" borderId="0" pivotButton="0" quotePrefix="0" xfId="0"/>
    <xf numFmtId="165" fontId="6" fillId="4" borderId="0" pivotButton="0" quotePrefix="0" xfId="0"/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6" fontId="2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167" fontId="3" fillId="0" borderId="1" pivotButton="0" quotePrefix="0" xfId="0"/>
    <xf numFmtId="167" fontId="2" fillId="0" borderId="1" pivotButton="0" quotePrefix="0" xfId="0"/>
    <xf numFmtId="165" fontId="3" fillId="0" borderId="1" pivotButton="0" quotePrefix="0" xfId="0"/>
    <xf numFmtId="167" fontId="7" fillId="0" borderId="1" pivotButton="0" quotePrefix="0" xfId="0"/>
    <xf numFmtId="0" fontId="2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Cost by Volume Tier</a:t>
            </a:r>
          </a:p>
        </rich>
      </tx>
    </title>
    <plotArea>
      <lineChart>
        <grouping val="standard"/>
        <ser>
          <idx val="0"/>
          <order val="0"/>
          <tx>
            <strRef>
              <f>'Scaling Projection'!E4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'Scaling Projection'!$A$5:$A$9</f>
            </numRef>
          </cat>
          <val>
            <numRef>
              <f>'Scaling Projection'!$E$5:$E$9</f>
            </numRef>
          </val>
        </ser>
        <ser>
          <idx val="1"/>
          <order val="1"/>
          <tx>
            <strRef>
              <f>'Scaling Projection'!F4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'Scaling Projection'!$A$5:$A$9</f>
            </numRef>
          </cat>
          <val>
            <numRef>
              <f>'Scaling Projection'!$F$5:$F$9</f>
            </numRef>
          </val>
        </ser>
        <ser>
          <idx val="2"/>
          <order val="2"/>
          <tx>
            <strRef>
              <f>'Scaling Projection'!G4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'Scaling Projection'!$A$5:$A$9</f>
            </numRef>
          </cat>
          <val>
            <numRef>
              <f>'Scaling Projection'!$G$5:$G$9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Docs /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AmFam Document AI -- Local vs. Frontier Model Cost Model</t>
        </is>
      </c>
    </row>
    <row r="3">
      <c r="A3" s="2" t="inlineStr">
        <is>
          <t>How to use this workbook</t>
        </is>
      </c>
    </row>
    <row r="4">
      <c r="A4" s="3" t="inlineStr">
        <is>
          <t>1. Fill in blue cells on the 'Assumptions' tab with real pricing and measured throughput.</t>
        </is>
      </c>
    </row>
    <row r="5">
      <c r="A5" s="3" t="inlineStr">
        <is>
          <t>2. Fill in blue cells on the 'Eval Results' tab with accuracy/F1 numbers from metrics.py output.</t>
        </is>
      </c>
    </row>
    <row r="6">
      <c r="A6" s="3" t="inlineStr">
        <is>
          <t>3. All other sheets (Cost Per Doc, Scaling Projection, Dashboard) recalculate automatically.</t>
        </is>
      </c>
    </row>
    <row r="7">
      <c r="A7" s="3" t="inlineStr">
        <is>
          <t>4. Color key: blue text = input you edit. Black = formula, do not overwrite.</t>
        </is>
      </c>
    </row>
    <row r="8">
      <c r="A8" s="3" t="inlineStr">
        <is>
          <t xml:space="preserve">   Green = link to another sheet. Yellow fill = key assumption to confirm before presenting.</t>
        </is>
      </c>
    </row>
    <row r="9">
      <c r="A9" s="3" t="inlineStr">
        <is>
          <t>5. Open in Excel or LibreOffice after editing so cached formula values refresh.</t>
        </is>
      </c>
    </row>
    <row r="10">
      <c r="A10" s="3" t="inlineStr">
        <is>
          <t>6. Defaults seeded from evaluation/pricing.yaml — confirm yellow cells before presenting.</t>
        </is>
      </c>
    </row>
    <row r="11">
      <c r="A11" s="3" t="inlineStr">
        <is>
          <t>7. Paste scores from evaluation/metrics.py summary.csv into 'Eval Results'.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34" customWidth="1" min="5" max="5"/>
  </cols>
  <sheetData>
    <row r="1">
      <c r="A1" s="4" t="inlineStr">
        <is>
          <t>Assumptions &amp; Inputs</t>
        </is>
      </c>
    </row>
    <row r="3">
      <c r="A3" s="5" t="inlineStr">
        <is>
          <t>Frontier Model Pricing (USD per 1M tokens)</t>
        </is>
      </c>
    </row>
    <row r="4">
      <c r="A4" s="6" t="inlineStr">
        <is>
          <t>Backend</t>
        </is>
      </c>
      <c r="B4" s="6" t="inlineStr">
        <is>
          <t>Model</t>
        </is>
      </c>
      <c r="C4" s="6" t="inlineStr">
        <is>
          <t>Input $/1M tok</t>
        </is>
      </c>
      <c r="D4" s="6" t="inlineStr">
        <is>
          <t>Output $/1M tok</t>
        </is>
      </c>
      <c r="E4" s="6" t="inlineStr">
        <is>
          <t>Source / date checked</t>
        </is>
      </c>
    </row>
    <row r="5">
      <c r="A5" s="3" t="inlineStr">
        <is>
          <t>Anthropic</t>
        </is>
      </c>
      <c r="B5" s="3" t="inlineStr">
        <is>
          <t>claude-sonnet-4.5</t>
        </is>
      </c>
      <c r="C5" s="7" t="n">
        <v>3</v>
      </c>
      <c r="D5" s="7" t="n">
        <v>15</v>
      </c>
      <c r="E5" s="8" t="inlineStr">
        <is>
          <t>anthropic.com/pricing -- CHECK &amp; date</t>
        </is>
      </c>
    </row>
    <row r="6">
      <c r="A6" s="3" t="inlineStr">
        <is>
          <t>OpenAI</t>
        </is>
      </c>
      <c r="B6" s="3" t="inlineStr">
        <is>
          <t>gpt-4o</t>
        </is>
      </c>
      <c r="C6" s="7" t="n">
        <v>2.5</v>
      </c>
      <c r="D6" s="7" t="n">
        <v>10</v>
      </c>
      <c r="E6" s="8" t="inlineStr">
        <is>
          <t>openai.com/api/pricing -- CHECK &amp; date</t>
        </is>
      </c>
    </row>
    <row r="8">
      <c r="A8" s="5" t="inlineStr">
        <is>
          <t>Local Compute Assumptions</t>
        </is>
      </c>
    </row>
    <row r="9">
      <c r="A9" s="3" t="inlineStr">
        <is>
          <t>GPU hourly rate (USD)</t>
        </is>
      </c>
      <c r="B9" s="7" t="n">
        <v>0.8</v>
      </c>
      <c r="C9" s="8" t="inlineStr">
        <is>
          <t>Source: seeded from evaluation/pricing.yaml (or CHTC / cloud on-demand) -- CONFIRM</t>
        </is>
      </c>
    </row>
    <row r="11">
      <c r="A11" s="5" t="inlineStr">
        <is>
          <t>Per-Task Volume Estimates</t>
        </is>
      </c>
    </row>
    <row r="12">
      <c r="A12" s="6" t="inlineStr">
        <is>
          <t>Task</t>
        </is>
      </c>
      <c r="B12" s="6" t="inlineStr">
        <is>
          <t>Avg input tok/doc (frontier)</t>
        </is>
      </c>
      <c r="C12" s="6" t="inlineStr">
        <is>
          <t>Avg output tok/doc (frontier)</t>
        </is>
      </c>
      <c r="D12" s="6" t="inlineStr">
        <is>
          <t>Local throughput (docs/hour)</t>
        </is>
      </c>
    </row>
    <row r="13">
      <c r="A13" s="3" t="inlineStr">
        <is>
          <t>Classification</t>
        </is>
      </c>
      <c r="B13" s="9" t="n">
        <v>800</v>
      </c>
      <c r="C13" s="9" t="n">
        <v>20</v>
      </c>
      <c r="D13" s="9" t="n">
        <v>1200</v>
      </c>
    </row>
    <row r="14">
      <c r="A14" s="3" t="inlineStr">
        <is>
          <t>Extraction</t>
        </is>
      </c>
      <c r="B14" s="9" t="n">
        <v>1500</v>
      </c>
      <c r="C14" s="9" t="n">
        <v>400</v>
      </c>
      <c r="D14" s="9" t="n">
        <v>300</v>
      </c>
    </row>
    <row r="15">
      <c r="A15" s="3" t="inlineStr">
        <is>
          <t>Memo Generation</t>
        </is>
      </c>
      <c r="B15" s="9" t="n">
        <v>2000</v>
      </c>
      <c r="C15" s="9" t="n">
        <v>600</v>
      </c>
      <c r="D15" s="9" t="n">
        <v>150</v>
      </c>
    </row>
    <row r="17">
      <c r="A17" s="5" t="inlineStr">
        <is>
          <t>Monthly Volume Tiers (docs/month, for scaling projection)</t>
        </is>
      </c>
    </row>
    <row r="18">
      <c r="A18" s="10" t="n">
        <v>1000</v>
      </c>
      <c r="B18" s="10" t="n">
        <v>10000</v>
      </c>
      <c r="C18" s="10" t="n">
        <v>50000</v>
      </c>
      <c r="D18" s="10" t="n">
        <v>100000</v>
      </c>
      <c r="E18" s="10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34" customWidth="1" min="5" max="5"/>
  </cols>
  <sheetData>
    <row r="1">
      <c r="A1" s="4" t="inlineStr">
        <is>
          <t>Eval Results (fill in from metrics.py summary.csv output)</t>
        </is>
      </c>
    </row>
    <row r="3">
      <c r="A3" s="6" t="inlineStr">
        <is>
          <t>Task</t>
        </is>
      </c>
      <c r="B3" s="6" t="inlineStr">
        <is>
          <t>Backend</t>
        </is>
      </c>
      <c r="C3" s="6" t="inlineStr">
        <is>
          <t>Accuracy / Macro-F1</t>
        </is>
      </c>
      <c r="D3" s="6" t="inlineStr">
        <is>
          <t>N examples</t>
        </is>
      </c>
      <c r="E3" s="6" t="inlineStr">
        <is>
          <t>Notes</t>
        </is>
      </c>
    </row>
    <row r="4">
      <c r="A4" s="3" t="inlineStr">
        <is>
          <t>Classification</t>
        </is>
      </c>
      <c r="B4" s="3" t="inlineStr">
        <is>
          <t>Anthropic</t>
        </is>
      </c>
      <c r="C4" s="11" t="n">
        <v>0.9399999999999999</v>
      </c>
      <c r="D4" s="9" t="n">
        <v>200</v>
      </c>
      <c r="E4" s="8" t="inlineStr">
        <is>
          <t>example row -- replace with real run</t>
        </is>
      </c>
    </row>
    <row r="5">
      <c r="A5" s="3" t="inlineStr">
        <is>
          <t>Classification</t>
        </is>
      </c>
      <c r="B5" s="3" t="inlineStr">
        <is>
          <t>OpenAI</t>
        </is>
      </c>
      <c r="C5" s="11" t="n">
        <v>0.93</v>
      </c>
      <c r="D5" s="9" t="n">
        <v>200</v>
      </c>
      <c r="E5" s="8" t="inlineStr"/>
    </row>
    <row r="6">
      <c r="A6" s="3" t="inlineStr">
        <is>
          <t>Classification</t>
        </is>
      </c>
      <c r="B6" s="3" t="inlineStr">
        <is>
          <t>Local (DeBERTa-v3)</t>
        </is>
      </c>
      <c r="C6" s="11" t="n">
        <v>0.91</v>
      </c>
      <c r="D6" s="9" t="n">
        <v>200</v>
      </c>
      <c r="E6" s="8" t="inlineStr"/>
    </row>
    <row r="7">
      <c r="A7" s="3" t="inlineStr">
        <is>
          <t>Extraction</t>
        </is>
      </c>
      <c r="B7" s="3" t="inlineStr">
        <is>
          <t>Anthropic</t>
        </is>
      </c>
      <c r="C7" s="11" t="n">
        <v>0.88</v>
      </c>
      <c r="D7" s="9" t="n">
        <v>200</v>
      </c>
      <c r="E7" s="8" t="inlineStr"/>
    </row>
    <row r="8">
      <c r="A8" s="3" t="inlineStr">
        <is>
          <t>Extraction</t>
        </is>
      </c>
      <c r="B8" s="3" t="inlineStr">
        <is>
          <t>OpenAI</t>
        </is>
      </c>
      <c r="C8" s="11" t="n">
        <v>0.86</v>
      </c>
      <c r="D8" s="9" t="n">
        <v>200</v>
      </c>
      <c r="E8" s="8" t="inlineStr"/>
    </row>
    <row r="9">
      <c r="A9" s="3" t="inlineStr">
        <is>
          <t>Extraction</t>
        </is>
      </c>
      <c r="B9" s="3" t="inlineStr">
        <is>
          <t>Local (LayoutLMv3)</t>
        </is>
      </c>
      <c r="C9" s="11" t="n">
        <v>0.83</v>
      </c>
      <c r="D9" s="9" t="n">
        <v>200</v>
      </c>
      <c r="E9" s="8" t="inlineStr"/>
    </row>
    <row r="10">
      <c r="A10" s="3" t="inlineStr">
        <is>
          <t>Memo Generation</t>
        </is>
      </c>
      <c r="B10" s="3" t="inlineStr">
        <is>
          <t>Anthropic</t>
        </is>
      </c>
      <c r="C10" s="11" t="n">
        <v>0.9</v>
      </c>
      <c r="D10" s="9" t="n">
        <v>100</v>
      </c>
      <c r="E10" s="8" t="inlineStr">
        <is>
          <t>rubric coverage, not accuracy</t>
        </is>
      </c>
    </row>
    <row r="11">
      <c r="A11" s="3" t="inlineStr">
        <is>
          <t>Memo Generation</t>
        </is>
      </c>
      <c r="B11" s="3" t="inlineStr">
        <is>
          <t>OpenAI</t>
        </is>
      </c>
      <c r="C11" s="11" t="n">
        <v>0.88</v>
      </c>
      <c r="D11" s="9" t="n">
        <v>100</v>
      </c>
      <c r="E11" s="8" t="inlineStr"/>
    </row>
    <row r="12">
      <c r="A12" s="3" t="inlineStr">
        <is>
          <t>Memo Generation</t>
        </is>
      </c>
      <c r="B12" s="3" t="inlineStr">
        <is>
          <t>Local (LoRA)</t>
        </is>
      </c>
      <c r="C12" s="11" t="n">
        <v>0.8100000000000001</v>
      </c>
      <c r="D12" s="9" t="n">
        <v>100</v>
      </c>
      <c r="E1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Cost Per Document by Task &amp; Backend</t>
        </is>
      </c>
    </row>
    <row r="3">
      <c r="A3" s="6" t="inlineStr">
        <is>
          <t>Task</t>
        </is>
      </c>
      <c r="B3" s="6" t="inlineStr">
        <is>
          <t>Backend</t>
        </is>
      </c>
      <c r="C3" s="6" t="inlineStr">
        <is>
          <t>Input tok/doc</t>
        </is>
      </c>
      <c r="D3" s="6" t="inlineStr">
        <is>
          <t>Output tok/doc</t>
        </is>
      </c>
      <c r="E3" s="6" t="inlineStr">
        <is>
          <t>Input $/1M</t>
        </is>
      </c>
      <c r="F3" s="6" t="inlineStr">
        <is>
          <t>Output $/1M</t>
        </is>
      </c>
      <c r="G3" s="6" t="inlineStr">
        <is>
          <t>GPU $/hr</t>
        </is>
      </c>
      <c r="H3" s="6" t="inlineStr">
        <is>
          <t>Docs/hr (local)</t>
        </is>
      </c>
      <c r="I3" s="6" t="inlineStr">
        <is>
          <t>Cost / Doc ($)</t>
        </is>
      </c>
    </row>
    <row r="4">
      <c r="A4" s="12" t="inlineStr">
        <is>
          <t>Classification</t>
        </is>
      </c>
      <c r="B4" s="12" t="inlineStr">
        <is>
          <t>Anthropic</t>
        </is>
      </c>
      <c r="C4" s="13">
        <f>Assumptions!B13</f>
        <v/>
      </c>
      <c r="D4" s="13">
        <f>Assumptions!C13</f>
        <v/>
      </c>
      <c r="E4" s="14">
        <f>Assumptions!C5</f>
        <v/>
      </c>
      <c r="F4" s="14">
        <f>Assumptions!D5</f>
        <v/>
      </c>
      <c r="G4" s="12" t="inlineStr">
        <is>
          <t>-</t>
        </is>
      </c>
      <c r="H4" s="12" t="inlineStr">
        <is>
          <t>-</t>
        </is>
      </c>
      <c r="I4" s="15">
        <f>(C4/1000000)*E4+(D4/1000000)*F4</f>
        <v/>
      </c>
    </row>
    <row r="5">
      <c r="A5" s="12" t="inlineStr">
        <is>
          <t>Classification</t>
        </is>
      </c>
      <c r="B5" s="12" t="inlineStr">
        <is>
          <t>OpenAI</t>
        </is>
      </c>
      <c r="C5" s="13">
        <f>Assumptions!B13</f>
        <v/>
      </c>
      <c r="D5" s="13">
        <f>Assumptions!C13</f>
        <v/>
      </c>
      <c r="E5" s="14">
        <f>Assumptions!C6</f>
        <v/>
      </c>
      <c r="F5" s="14">
        <f>Assumptions!D6</f>
        <v/>
      </c>
      <c r="G5" s="12" t="inlineStr">
        <is>
          <t>-</t>
        </is>
      </c>
      <c r="H5" s="12" t="inlineStr">
        <is>
          <t>-</t>
        </is>
      </c>
      <c r="I5" s="15">
        <f>(C5/1000000)*E5+(D5/1000000)*F5</f>
        <v/>
      </c>
    </row>
    <row r="6">
      <c r="A6" s="12" t="inlineStr">
        <is>
          <t>Classification</t>
        </is>
      </c>
      <c r="B6" s="12" t="inlineStr">
        <is>
          <t>Local</t>
        </is>
      </c>
      <c r="C6" s="13">
        <f>Assumptions!B13</f>
        <v/>
      </c>
      <c r="D6" s="13">
        <f>Assumptions!C13</f>
        <v/>
      </c>
      <c r="E6" s="12" t="inlineStr">
        <is>
          <t>-</t>
        </is>
      </c>
      <c r="F6" s="12" t="inlineStr">
        <is>
          <t>-</t>
        </is>
      </c>
      <c r="G6" s="14">
        <f>Assumptions!B9</f>
        <v/>
      </c>
      <c r="H6" s="13">
        <f>Assumptions!D13</f>
        <v/>
      </c>
      <c r="I6" s="15">
        <f>IFERROR(G6/H6,0)</f>
        <v/>
      </c>
    </row>
    <row r="7">
      <c r="A7" s="12" t="inlineStr">
        <is>
          <t>Extraction</t>
        </is>
      </c>
      <c r="B7" s="12" t="inlineStr">
        <is>
          <t>Anthropic</t>
        </is>
      </c>
      <c r="C7" s="13">
        <f>Assumptions!B14</f>
        <v/>
      </c>
      <c r="D7" s="13">
        <f>Assumptions!C14</f>
        <v/>
      </c>
      <c r="E7" s="14">
        <f>Assumptions!C5</f>
        <v/>
      </c>
      <c r="F7" s="14">
        <f>Assumptions!D5</f>
        <v/>
      </c>
      <c r="G7" s="12" t="inlineStr">
        <is>
          <t>-</t>
        </is>
      </c>
      <c r="H7" s="12" t="inlineStr">
        <is>
          <t>-</t>
        </is>
      </c>
      <c r="I7" s="15">
        <f>(C7/1000000)*E7+(D7/1000000)*F7</f>
        <v/>
      </c>
    </row>
    <row r="8">
      <c r="A8" s="12" t="inlineStr">
        <is>
          <t>Extraction</t>
        </is>
      </c>
      <c r="B8" s="12" t="inlineStr">
        <is>
          <t>OpenAI</t>
        </is>
      </c>
      <c r="C8" s="13">
        <f>Assumptions!B14</f>
        <v/>
      </c>
      <c r="D8" s="13">
        <f>Assumptions!C14</f>
        <v/>
      </c>
      <c r="E8" s="14">
        <f>Assumptions!C6</f>
        <v/>
      </c>
      <c r="F8" s="14">
        <f>Assumptions!D6</f>
        <v/>
      </c>
      <c r="G8" s="12" t="inlineStr">
        <is>
          <t>-</t>
        </is>
      </c>
      <c r="H8" s="12" t="inlineStr">
        <is>
          <t>-</t>
        </is>
      </c>
      <c r="I8" s="15">
        <f>(C8/1000000)*E8+(D8/1000000)*F8</f>
        <v/>
      </c>
    </row>
    <row r="9">
      <c r="A9" s="12" t="inlineStr">
        <is>
          <t>Extraction</t>
        </is>
      </c>
      <c r="B9" s="12" t="inlineStr">
        <is>
          <t>Local</t>
        </is>
      </c>
      <c r="C9" s="13">
        <f>Assumptions!B14</f>
        <v/>
      </c>
      <c r="D9" s="13">
        <f>Assumptions!C14</f>
        <v/>
      </c>
      <c r="E9" s="12" t="inlineStr">
        <is>
          <t>-</t>
        </is>
      </c>
      <c r="F9" s="12" t="inlineStr">
        <is>
          <t>-</t>
        </is>
      </c>
      <c r="G9" s="14">
        <f>Assumptions!B9</f>
        <v/>
      </c>
      <c r="H9" s="13">
        <f>Assumptions!D14</f>
        <v/>
      </c>
      <c r="I9" s="15">
        <f>IFERROR(G9/H9,0)</f>
        <v/>
      </c>
    </row>
    <row r="10">
      <c r="A10" s="12" t="inlineStr">
        <is>
          <t>Memo Generation</t>
        </is>
      </c>
      <c r="B10" s="12" t="inlineStr">
        <is>
          <t>Anthropic</t>
        </is>
      </c>
      <c r="C10" s="13">
        <f>Assumptions!B15</f>
        <v/>
      </c>
      <c r="D10" s="13">
        <f>Assumptions!C15</f>
        <v/>
      </c>
      <c r="E10" s="14">
        <f>Assumptions!C5</f>
        <v/>
      </c>
      <c r="F10" s="14">
        <f>Assumptions!D5</f>
        <v/>
      </c>
      <c r="G10" s="12" t="inlineStr">
        <is>
          <t>-</t>
        </is>
      </c>
      <c r="H10" s="12" t="inlineStr">
        <is>
          <t>-</t>
        </is>
      </c>
      <c r="I10" s="15">
        <f>(C10/1000000)*E10+(D10/1000000)*F10</f>
        <v/>
      </c>
    </row>
    <row r="11">
      <c r="A11" s="12" t="inlineStr">
        <is>
          <t>Memo Generation</t>
        </is>
      </c>
      <c r="B11" s="12" t="inlineStr">
        <is>
          <t>OpenAI</t>
        </is>
      </c>
      <c r="C11" s="13">
        <f>Assumptions!B15</f>
        <v/>
      </c>
      <c r="D11" s="13">
        <f>Assumptions!C15</f>
        <v/>
      </c>
      <c r="E11" s="14">
        <f>Assumptions!C6</f>
        <v/>
      </c>
      <c r="F11" s="14">
        <f>Assumptions!D6</f>
        <v/>
      </c>
      <c r="G11" s="12" t="inlineStr">
        <is>
          <t>-</t>
        </is>
      </c>
      <c r="H11" s="12" t="inlineStr">
        <is>
          <t>-</t>
        </is>
      </c>
      <c r="I11" s="15">
        <f>(C11/1000000)*E11+(D11/1000000)*F11</f>
        <v/>
      </c>
    </row>
    <row r="12">
      <c r="A12" s="12" t="inlineStr">
        <is>
          <t>Memo Generation</t>
        </is>
      </c>
      <c r="B12" s="12" t="inlineStr">
        <is>
          <t>Local</t>
        </is>
      </c>
      <c r="C12" s="13">
        <f>Assumptions!B15</f>
        <v/>
      </c>
      <c r="D12" s="13">
        <f>Assumptions!C15</f>
        <v/>
      </c>
      <c r="E12" s="12" t="inlineStr">
        <is>
          <t>-</t>
        </is>
      </c>
      <c r="F12" s="12" t="inlineStr">
        <is>
          <t>-</t>
        </is>
      </c>
      <c r="G12" s="14">
        <f>Assumptions!B9</f>
        <v/>
      </c>
      <c r="H12" s="13">
        <f>Assumptions!D15</f>
        <v/>
      </c>
      <c r="I12" s="15">
        <f>IFERROR(G12/H12,0)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Monthly Cost at Volume (USD)</t>
        </is>
      </c>
    </row>
    <row r="2">
      <c r="A2" s="3" t="inlineStr">
        <is>
          <t>Uses average cost/doc across all three tasks per backend, x monthly volume tier.</t>
        </is>
      </c>
    </row>
    <row r="4">
      <c r="A4" s="6" t="inlineStr">
        <is>
          <t>Volume tier (docs/month)</t>
        </is>
      </c>
      <c r="B4" s="6" t="inlineStr">
        <is>
          <t>Anthropic avg $/doc</t>
        </is>
      </c>
      <c r="C4" s="6" t="inlineStr">
        <is>
          <t>OpenAI avg $/doc</t>
        </is>
      </c>
      <c r="D4" s="6" t="inlineStr">
        <is>
          <t>Local avg $/doc</t>
        </is>
      </c>
      <c r="E4" s="6" t="inlineStr">
        <is>
          <t>Anthropic $/mo</t>
        </is>
      </c>
      <c r="F4" s="6" t="inlineStr">
        <is>
          <t>OpenAI $/mo</t>
        </is>
      </c>
      <c r="G4" s="6" t="inlineStr">
        <is>
          <t>Local $/mo</t>
        </is>
      </c>
      <c r="H4" s="6" t="inlineStr">
        <is>
          <t>Savings: Local vs Anthropic</t>
        </is>
      </c>
      <c r="I4" s="6" t="inlineStr">
        <is>
          <t>Savings: Local vs OpenAI</t>
        </is>
      </c>
    </row>
    <row r="5">
      <c r="A5" s="16">
        <f>Assumptions!A18</f>
        <v/>
      </c>
      <c r="B5" s="17">
        <f>AVERAGE('Cost Per Doc'!I4,'Cost Per Doc'!I7,'Cost Per Doc'!I10)</f>
        <v/>
      </c>
      <c r="C5" s="17">
        <f>AVERAGE('Cost Per Doc'!I5,'Cost Per Doc'!I8,'Cost Per Doc'!I11)</f>
        <v/>
      </c>
      <c r="D5" s="17">
        <f>AVERAGE('Cost Per Doc'!I6,'Cost Per Doc'!I9,'Cost Per Doc'!I12)</f>
        <v/>
      </c>
      <c r="E5" s="18">
        <f>A5*B5</f>
        <v/>
      </c>
      <c r="F5" s="18">
        <f>A5*C5</f>
        <v/>
      </c>
      <c r="G5" s="19">
        <f>A5*D5</f>
        <v/>
      </c>
      <c r="H5" s="20">
        <f>IFERROR((E5-G5)/E5,0)</f>
        <v/>
      </c>
      <c r="I5" s="20">
        <f>IFERROR((F5-G5)/F5,0)</f>
        <v/>
      </c>
    </row>
    <row r="6">
      <c r="A6" s="16">
        <f>Assumptions!B18</f>
        <v/>
      </c>
      <c r="B6" s="17">
        <f>AVERAGE('Cost Per Doc'!I4,'Cost Per Doc'!I7,'Cost Per Doc'!I10)</f>
        <v/>
      </c>
      <c r="C6" s="17">
        <f>AVERAGE('Cost Per Doc'!I5,'Cost Per Doc'!I8,'Cost Per Doc'!I11)</f>
        <v/>
      </c>
      <c r="D6" s="17">
        <f>AVERAGE('Cost Per Doc'!I6,'Cost Per Doc'!I9,'Cost Per Doc'!I12)</f>
        <v/>
      </c>
      <c r="E6" s="18">
        <f>A6*B6</f>
        <v/>
      </c>
      <c r="F6" s="18">
        <f>A6*C6</f>
        <v/>
      </c>
      <c r="G6" s="19">
        <f>A6*D6</f>
        <v/>
      </c>
      <c r="H6" s="20">
        <f>IFERROR((E6-G6)/E6,0)</f>
        <v/>
      </c>
      <c r="I6" s="20">
        <f>IFERROR((F6-G6)/F6,0)</f>
        <v/>
      </c>
    </row>
    <row r="7">
      <c r="A7" s="16">
        <f>Assumptions!C18</f>
        <v/>
      </c>
      <c r="B7" s="17">
        <f>AVERAGE('Cost Per Doc'!I4,'Cost Per Doc'!I7,'Cost Per Doc'!I10)</f>
        <v/>
      </c>
      <c r="C7" s="17">
        <f>AVERAGE('Cost Per Doc'!I5,'Cost Per Doc'!I8,'Cost Per Doc'!I11)</f>
        <v/>
      </c>
      <c r="D7" s="17">
        <f>AVERAGE('Cost Per Doc'!I6,'Cost Per Doc'!I9,'Cost Per Doc'!I12)</f>
        <v/>
      </c>
      <c r="E7" s="18">
        <f>A7*B7</f>
        <v/>
      </c>
      <c r="F7" s="18">
        <f>A7*C7</f>
        <v/>
      </c>
      <c r="G7" s="19">
        <f>A7*D7</f>
        <v/>
      </c>
      <c r="H7" s="20">
        <f>IFERROR((E7-G7)/E7,0)</f>
        <v/>
      </c>
      <c r="I7" s="20">
        <f>IFERROR((F7-G7)/F7,0)</f>
        <v/>
      </c>
    </row>
    <row r="8">
      <c r="A8" s="16">
        <f>Assumptions!D18</f>
        <v/>
      </c>
      <c r="B8" s="17">
        <f>AVERAGE('Cost Per Doc'!I4,'Cost Per Doc'!I7,'Cost Per Doc'!I10)</f>
        <v/>
      </c>
      <c r="C8" s="17">
        <f>AVERAGE('Cost Per Doc'!I5,'Cost Per Doc'!I8,'Cost Per Doc'!I11)</f>
        <v/>
      </c>
      <c r="D8" s="17">
        <f>AVERAGE('Cost Per Doc'!I6,'Cost Per Doc'!I9,'Cost Per Doc'!I12)</f>
        <v/>
      </c>
      <c r="E8" s="18">
        <f>A8*B8</f>
        <v/>
      </c>
      <c r="F8" s="18">
        <f>A8*C8</f>
        <v/>
      </c>
      <c r="G8" s="19">
        <f>A8*D8</f>
        <v/>
      </c>
      <c r="H8" s="20">
        <f>IFERROR((E8-G8)/E8,0)</f>
        <v/>
      </c>
      <c r="I8" s="20">
        <f>IFERROR((F8-G8)/F8,0)</f>
        <v/>
      </c>
    </row>
    <row r="9">
      <c r="A9" s="16">
        <f>Assumptions!E18</f>
        <v/>
      </c>
      <c r="B9" s="17">
        <f>AVERAGE('Cost Per Doc'!I4,'Cost Per Doc'!I7,'Cost Per Doc'!I10)</f>
        <v/>
      </c>
      <c r="C9" s="17">
        <f>AVERAGE('Cost Per Doc'!I5,'Cost Per Doc'!I8,'Cost Per Doc'!I11)</f>
        <v/>
      </c>
      <c r="D9" s="17">
        <f>AVERAGE('Cost Per Doc'!I6,'Cost Per Doc'!I9,'Cost Per Doc'!I12)</f>
        <v/>
      </c>
      <c r="E9" s="18">
        <f>A9*B9</f>
        <v/>
      </c>
      <c r="F9" s="18">
        <f>A9*C9</f>
        <v/>
      </c>
      <c r="G9" s="19">
        <f>A9*D9</f>
        <v/>
      </c>
      <c r="H9" s="20">
        <f>IFERROR((E9-G9)/E9,0)</f>
        <v/>
      </c>
      <c r="I9" s="20">
        <f>IFERROR((F9-G9)/F9,0)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Summary Dashboard</t>
        </is>
      </c>
    </row>
    <row r="3">
      <c r="A3" s="2" t="inlineStr">
        <is>
          <t>Headline: cost savings running local models at 50,000 docs/month</t>
        </is>
      </c>
    </row>
    <row r="5">
      <c r="A5" s="12" t="inlineStr">
        <is>
          <t>Anthropic monthly cost</t>
        </is>
      </c>
      <c r="B5" s="21">
        <f>'Scaling Projection'!E7</f>
        <v/>
      </c>
    </row>
    <row r="6">
      <c r="A6" s="12" t="inlineStr">
        <is>
          <t>OpenAI monthly cost</t>
        </is>
      </c>
      <c r="B6" s="21">
        <f>'Scaling Projection'!F7</f>
        <v/>
      </c>
    </row>
    <row r="7">
      <c r="A7" s="12" t="inlineStr">
        <is>
          <t>Local monthly cost</t>
        </is>
      </c>
      <c r="B7" s="21">
        <f>'Scaling Projection'!G7</f>
        <v/>
      </c>
    </row>
    <row r="8">
      <c r="A8" s="22" t="inlineStr">
        <is>
          <t>Savings vs. Anthropic</t>
        </is>
      </c>
      <c r="B8" s="23">
        <f>'Scaling Projection'!H7</f>
        <v/>
      </c>
    </row>
    <row r="9">
      <c r="A9" s="22" t="inlineStr">
        <is>
          <t>Savings vs. OpenAI</t>
        </is>
      </c>
      <c r="B9" s="23">
        <f>'Scaling Projection'!I7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2026-07-14T06:00:56Z</dcterms:created>
  <dcterms:modified xsi:type="dcterms:W3CDTF">2026-07-14T06:00:56Z</dcterms:modified>
</cp:coreProperties>
</file>